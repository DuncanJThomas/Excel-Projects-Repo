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5D2CDC75-32CA-4EA7-8E56-B6765C1F586D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<sst xmlns="http://schemas.openxmlformats.org/spreadsheetml/2006/main" count="61" uniqueCount="61">
  <si>
    <t>Biggest Atlantic Hurricanes</t>
  </si>
  <si>
    <t>Name</t>
  </si>
  <si>
    <t>Start Date</t>
  </si>
  <si>
    <t>Damage 
(USD 
Millions)</t>
  </si>
  <si>
    <t>Category*</t>
  </si>
  <si>
    <t>Max 
Wind 
Speed</t>
  </si>
  <si>
    <t>Scale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</si>
  <si>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</si>
  <si>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</si>
  <si>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</si>
  <si>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</si>
  <si>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</si>
  <si>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</si>
  <si>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</si>
  <si>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</si>
  <si>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</si>
  <si>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</si>
  <si>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</si>
  <si>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</si>
  <si>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</si>
  <si>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</si>
  <si>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</si>
  <si>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</si>
  <si>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</si>
  <si>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</si>
  <si>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</si>
  <si>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</si>
  <si>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</si>
  <si>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</si>
  <si>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</si>
  <si>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</si>
  <si>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Damage Cost</t>
  </si>
  <si>
    <t>Damage Level</t>
  </si>
  <si>
    <t>Central America</t>
  </si>
  <si>
    <t>June 4, 1934</t>
  </si>
  <si>
    <t>&lt;1000</t>
  </si>
  <si>
    <t>Moderate</t>
  </si>
  <si>
    <t>Jérémie</t>
  </si>
  <si>
    <t>October 18, 1935</t>
  </si>
  <si>
    <t>&lt;10000</t>
  </si>
  <si>
    <t>Severe</t>
  </si>
  <si>
    <t>Flora</t>
  </si>
  <si>
    <t>September 26, 1963</t>
  </si>
  <si>
    <t>&gt;10000</t>
  </si>
  <si>
    <t>Devastating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</si>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</sst>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6.285156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"No such category")</f>
        <v>129</v>
      </c>
      <c r="F4" t="str" cm="1">
        <f t="array" ref="F4">_xlfn.IFS(C4&lt;1000, "Moderate", C4&lt;10000, "Severe", C4&gt;=10000, "Devistating")</f>
        <v>Moderate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"No such category")</f>
        <v>129</v>
      </c>
      <c r="F5" t="str" cm="1">
        <f t="array" ref="F5">_xlfn.IFS(C5&lt;1000, "Moderate", C5&lt;10000, "Severe", C5&gt;=10000, "Devistating")</f>
        <v>Moderate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"No such category")</f>
        <v>156</v>
      </c>
      <c r="F6" t="str" cm="1">
        <f t="array" ref="F6">_xlfn.IFS(C6&lt;1000, "Moderate", C6&lt;10000, "Severe", C6&gt;=10000, "Devistating")</f>
        <v>Moderate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"No such category")</f>
        <v>156</v>
      </c>
      <c r="F7" t="str" cm="1">
        <f t="array" ref="F7">_xlfn.IFS(C7&lt;1000, "Moderate", C7&lt;10000, "Severe", C7&gt;=10000, "Devistating")</f>
        <v>Moderate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"No such category")</f>
        <v>156</v>
      </c>
      <c r="F8" t="str" cm="1">
        <f t="array" ref="F8">_xlfn.IFS(C8&lt;1000, "Moderate", C8&lt;10000, "Severe", C8&gt;=10000, "Devistating")</f>
        <v>Moderate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"No such category")</f>
        <v>129</v>
      </c>
      <c r="F9" t="str" cm="1">
        <f t="array" ref="F9">_xlfn.IFS(C9&lt;1000, "Moderate", C9&lt;10000, "Severe", C9&gt;=10000, "Devistating")</f>
        <v>Moderate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"No such category")</f>
        <v>157 and over</v>
      </c>
      <c r="F10" t="str" cm="1">
        <f t="array" ref="F10">_xlfn.IFS(C10&lt;1000, "Moderate", C10&lt;10000, "Severe", C10&gt;=10000, "Devistating")</f>
        <v>Moderate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"No such category")</f>
        <v>156</v>
      </c>
      <c r="F11" t="str" cm="1">
        <f t="array" ref="F11">_xlfn.IFS(C11&lt;1000, "Moderate", C11&lt;10000, "Severe", C11&gt;=10000, "Devistating")</f>
        <v>Moderate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"No such category")</f>
        <v>156</v>
      </c>
      <c r="F12" t="str" cm="1">
        <f t="array" ref="F12">_xlfn.IFS(C12&lt;1000, "Moderate", C12&lt;10000, "Severe", C12&gt;=10000, "Devistating")</f>
        <v>Moderate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 1, 95, 2, 110, 3, 129, 4, 156, 5, "157 and over", "No such category")</f>
        <v>157 and over</v>
      </c>
      <c r="F13" t="str" cm="1">
        <f t="array" ref="F13">_xlfn.IFS(C13&lt;1000, "Moderate", C13&lt;10000, "Severe", C13&gt;=10000, "Devistating")</f>
        <v>Moderate</v>
      </c>
      <c r="H13" t="s">
        <v>31</v>
      </c>
      <c r="I13" t="s">
        <v>32</v>
      </c>
    </row>
    <row r="14" spans="1:9">
      <c r="A14" t="s">
        <v>33</v>
      </c>
      <c r="B14" t="s">
        <v>34</v>
      </c>
      <c r="C14" s="3">
        <v>2.6</v>
      </c>
      <c r="D14">
        <v>2</v>
      </c>
      <c r="E14" s="6" cm="1">
        <f t="array" ref="E14">_xlfn.SWITCH(D14, 1, 95, 2, 110, 3, 129, 4, 156, 5, "157 and over", "No such category")</f>
        <v>110</v>
      </c>
      <c r="F14" t="str" cm="1">
        <f t="array" ref="F14">_xlfn.IFS(C14&lt;1000, "Moderate", C14&lt;10000, "Severe", C14&gt;=10000, "Devistating")</f>
        <v>Moderate</v>
      </c>
      <c r="H14" t="s">
        <v>35</v>
      </c>
      <c r="I14" t="s">
        <v>36</v>
      </c>
    </row>
    <row r="15" spans="1:9">
      <c r="A15" t="s">
        <v>37</v>
      </c>
      <c r="B15" t="s">
        <v>38</v>
      </c>
      <c r="C15" s="3">
        <v>16</v>
      </c>
      <c r="D15">
        <v>1</v>
      </c>
      <c r="E15" s="6" cm="1">
        <f t="array" ref="E15">_xlfn.SWITCH(D15, 1, 95, 2, 110, 3, 129, 4, 156, 5, "157 and over", "No such category")</f>
        <v>95</v>
      </c>
      <c r="F15" t="str" cm="1">
        <f t="array" ref="F15">_xlfn.IFS(C15&lt;1000, "Moderate", C15&lt;10000, "Severe", C15&gt;=10000, "Devistating")</f>
        <v>Moderate</v>
      </c>
      <c r="H15" t="s">
        <v>39</v>
      </c>
      <c r="I15" t="s">
        <v>40</v>
      </c>
    </row>
    <row r="16" spans="1:9">
      <c r="A16" t="s">
        <v>41</v>
      </c>
      <c r="B16" t="s">
        <v>42</v>
      </c>
      <c r="C16" s="3">
        <v>529</v>
      </c>
      <c r="D16">
        <v>4</v>
      </c>
      <c r="E16" s="6" cm="1">
        <f t="array" ref="E16">_xlfn.SWITCH(D16, 1, 95, 2, 110, 3, 129, 4, 156, 5, "157 and over", "No such category")</f>
        <v>156</v>
      </c>
      <c r="F16" t="str" cm="1">
        <f t="array" ref="F16">_xlfn.IFS(C16&lt;1000, "Moderate", C16&lt;10000, "Severe", C16&gt;=10000, "Devistating")</f>
        <v>Moderate</v>
      </c>
      <c r="H16" t="s">
        <v>43</v>
      </c>
      <c r="I16" t="s">
        <v>44</v>
      </c>
    </row>
    <row r="17" spans="1:6">
      <c r="A17" t="s">
        <v>45</v>
      </c>
      <c r="B17" t="s">
        <v>46</v>
      </c>
      <c r="C17" s="3">
        <v>1800</v>
      </c>
      <c r="D17">
        <v>2</v>
      </c>
      <c r="E17" s="6" cm="1">
        <f t="array" ref="E17">_xlfn.SWITCH(D17, 1, 95, 2, 110, 3, 129, 4, 156, 5, "157 and over", "No such category")</f>
        <v>110</v>
      </c>
      <c r="F17" t="str" cm="1">
        <f t="array" ref="F17">_xlfn.IFS(C17&lt;1000, "Moderate", C17&lt;10000, "Severe", C17&gt;=10000, "Devistating")</f>
        <v>Severe</v>
      </c>
    </row>
    <row r="18" spans="1:6">
      <c r="A18" t="s">
        <v>47</v>
      </c>
      <c r="B18" t="s">
        <v>48</v>
      </c>
      <c r="C18" s="3">
        <v>1540</v>
      </c>
      <c r="D18">
        <v>5</v>
      </c>
      <c r="E18" s="6" t="str" cm="1">
        <f t="array" ref="E18">_xlfn.SWITCH(D18, 1, 95, 2, 110, 3, 129, 4, 156, 5, "157 and over", "No such category")</f>
        <v>157 and over</v>
      </c>
      <c r="F18" t="str" cm="1">
        <f t="array" ref="F18">_xlfn.IFS(C18&lt;1000, "Moderate", C18&lt;10000, "Severe", C18&gt;=10000, "Devistating")</f>
        <v>Severe</v>
      </c>
    </row>
    <row r="19" spans="1:6">
      <c r="A19" t="s">
        <v>49</v>
      </c>
      <c r="B19" t="s">
        <v>50</v>
      </c>
      <c r="C19" s="3">
        <v>594</v>
      </c>
      <c r="D19">
        <v>1</v>
      </c>
      <c r="E19" s="6" cm="1">
        <f t="array" ref="E19">_xlfn.SWITCH(D19, 1, 95, 2, 110, 3, 129, 4, 156, 5, "157 and over", "No such category")</f>
        <v>95</v>
      </c>
      <c r="F19" t="str" cm="1">
        <f t="array" ref="F19">_xlfn.IFS(C19&lt;1000, "Moderate", C19&lt;10000, "Severe", C19&gt;=10000, "Devistating")</f>
        <v>Moderate</v>
      </c>
    </row>
    <row r="20" spans="1:6">
      <c r="A20" t="s">
        <v>51</v>
      </c>
      <c r="B20" t="s">
        <v>52</v>
      </c>
      <c r="C20" s="3">
        <v>6200</v>
      </c>
      <c r="D20">
        <v>5</v>
      </c>
      <c r="E20" s="6" t="str" cm="1">
        <f t="array" ref="E20">_xlfn.SWITCH(D20, 1, 95, 2, 110, 3, 129, 4, 156, 5, "157 and over", "No such category")</f>
        <v>157 and over</v>
      </c>
      <c r="F20" t="str" cm="1">
        <f t="array" ref="F20">_xlfn.IFS(C20&lt;1000, "Moderate", C20&lt;10000, "Severe", C20&gt;=10000, "Devistating")</f>
        <v>Severe</v>
      </c>
    </row>
    <row r="21" spans="1:6">
      <c r="A21" t="s">
        <v>53</v>
      </c>
      <c r="B21" t="s">
        <v>54</v>
      </c>
      <c r="C21" s="3">
        <v>7660</v>
      </c>
      <c r="D21">
        <v>3</v>
      </c>
      <c r="E21" s="6" cm="1">
        <f t="array" ref="E21">_xlfn.SWITCH(D21, 1, 95, 2, 110, 3, 129, 4, 156, 5, "157 and over", "No such category")</f>
        <v>129</v>
      </c>
      <c r="F21" t="str" cm="1">
        <f t="array" ref="F21">_xlfn.IFS(C21&lt;1000, "Moderate", C21&lt;10000, "Severe", C21&gt;=10000, "Devistating")</f>
        <v>Severe</v>
      </c>
    </row>
    <row r="22" spans="1:6">
      <c r="A22" t="s">
        <v>55</v>
      </c>
      <c r="B22" t="s">
        <v>56</v>
      </c>
      <c r="C22" s="3">
        <v>108000</v>
      </c>
      <c r="D22">
        <v>5</v>
      </c>
      <c r="E22" s="6" t="str" cm="1">
        <f t="array" ref="E22">_xlfn.SWITCH(D22, 1, 95, 2, 110, 3, 129, 4, 156, 5, "157 and over", "No such category")</f>
        <v>157 and over</v>
      </c>
      <c r="F22" t="str" cm="1">
        <f t="array" ref="F22">_xlfn.IFS(C22&lt;1000, "Moderate", C22&lt;10000, "Severe", C22&gt;=10000, "Devistating")</f>
        <v>Devistating</v>
      </c>
    </row>
    <row r="23" spans="1:6">
      <c r="A23" t="s">
        <v>57</v>
      </c>
      <c r="B23" t="s">
        <v>58</v>
      </c>
      <c r="C23" s="3">
        <v>3960</v>
      </c>
      <c r="D23">
        <v>1</v>
      </c>
      <c r="E23" s="6" cm="1">
        <f t="array" ref="E23">_xlfn.SWITCH(D23, 1, 95, 2, 110, 3, 129, 4, 156, 5, "157 and over", "No such category")</f>
        <v>95</v>
      </c>
      <c r="F23" t="str" cm="1">
        <f t="array" ref="F23">_xlfn.IFS(C23&lt;1000, "Moderate", C23&lt;10000, "Severe", C23&gt;=10000, "Devistating")</f>
        <v>Severe</v>
      </c>
    </row>
    <row r="24" spans="1:6">
      <c r="A24" t="s">
        <v>59</v>
      </c>
      <c r="B24" t="s">
        <v>60</v>
      </c>
      <c r="C24" s="3">
        <v>300000</v>
      </c>
      <c r="D24">
        <v>5</v>
      </c>
      <c r="E24" s="6" t="str" cm="1">
        <f t="array" ref="E24">_xlfn.SWITCH(D24, 1, 95, 2, 110, 3, 129, 4, 156, 5, "157 and over", "No such category")</f>
        <v>157 and over</v>
      </c>
      <c r="F24" t="str" cm="1">
        <f t="array" ref="F24">_xlfn.IFS(C24&lt;1000, "Moderate", C24&lt;10000, "Severe", C24&gt;=10000, "Devistating")</f>
        <v>Devistating</v>
      </c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2026-08-11T20:15:59Z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